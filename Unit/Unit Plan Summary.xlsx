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Pla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<sst xmlns="http://schemas.openxmlformats.org/spreadsheetml/2006/main" count="60" uniqueCount="42">
  <si>
    <t xml:space="preserve">Unit Plan Summary — 260331 Marketing</t>
  </si>
  <si>
    <t xml:space="preserve">Unit</t>
  </si>
  <si>
    <t xml:space="preserve">Type</t>
  </si>
  <si>
    <t xml:space="preserve">Interior (sf)</t>
  </si>
  <si>
    <t xml:space="preserve">Exterior (sf)</t>
  </si>
  <si>
    <t xml:space="preserve">Total (sf)</t>
  </si>
  <si>
    <t xml:space="preserve">1B-G1</t>
  </si>
  <si>
    <t xml:space="preserve">One Bedroom</t>
  </si>
  <si>
    <t xml:space="preserve">1BD-G2</t>
  </si>
  <si>
    <t xml:space="preserve">One Bedroom + Den</t>
  </si>
  <si>
    <t xml:space="preserve">2B-U</t>
  </si>
  <si>
    <t xml:space="preserve">Two Bedroom</t>
  </si>
  <si>
    <t xml:space="preserve">1B-X</t>
  </si>
  <si>
    <t xml:space="preserve">2BD-T1</t>
  </si>
  <si>
    <t xml:space="preserve">Two Bedroom + Den</t>
  </si>
  <si>
    <t xml:space="preserve">2BD-D</t>
  </si>
  <si>
    <t xml:space="preserve">Two Bedroom + Den AU</t>
  </si>
  <si>
    <t xml:space="preserve">1BD-C1</t>
  </si>
  <si>
    <t xml:space="preserve">2B-M3</t>
  </si>
  <si>
    <t xml:space="preserve">1B-Y</t>
  </si>
  <si>
    <t xml:space="preserve">2BD-T2</t>
  </si>
  <si>
    <t xml:space="preserve">2B-P</t>
  </si>
  <si>
    <t xml:space="preserve">2B-O</t>
  </si>
  <si>
    <t xml:space="preserve">2B-N</t>
  </si>
  <si>
    <t xml:space="preserve">STUDIO-A</t>
  </si>
  <si>
    <t xml:space="preserve">Studio</t>
  </si>
  <si>
    <t xml:space="preserve">1B-H1</t>
  </si>
  <si>
    <t xml:space="preserve">1BD-K</t>
  </si>
  <si>
    <t xml:space="preserve">One Bedroom + Den AU</t>
  </si>
  <si>
    <t xml:space="preserve">1BD-C2</t>
  </si>
  <si>
    <t xml:space="preserve">2B-M1/M2</t>
  </si>
  <si>
    <t xml:space="preserve">STUDIO-B</t>
  </si>
  <si>
    <t xml:space="preserve">1B-E1</t>
  </si>
  <si>
    <t xml:space="preserve">1B-E2</t>
  </si>
  <si>
    <t xml:space="preserve">3B-W</t>
  </si>
  <si>
    <t xml:space="preserve">Three Bedroom</t>
  </si>
  <si>
    <t xml:space="preserve">1B-F</t>
  </si>
  <si>
    <t xml:space="preserve">2B-Q</t>
  </si>
  <si>
    <t xml:space="preserve">2B-S</t>
  </si>
  <si>
    <t xml:space="preserve">2B-R1</t>
  </si>
  <si>
    <t xml:space="preserve">Averages</t>
  </si>
  <si>
    <t xml:space="preserve">Total Units: 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</si>
</sst>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7F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D9E2F0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7"/>
      <rgbColor rgb="FFCCFFFF"/>
      <rgbColor rgb="FF660066"/>
      <rgbColor rgb="FFFF8080"/>
      <rgbColor rgb="FF0066CC"/>
      <rgbColor rgb="FFD9E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5" min="3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3.75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.75" hidden="false" customHeight="true" outlineLevel="0" collapsed="false">
      <c r="A4" s="3" t="s">
        <v>6</v>
      </c>
      <c r="B4" s="4" t="s">
        <v>7</v>
      </c>
      <c r="C4" s="5" t="n">
        <v>614.6</v>
      </c>
      <c r="D4" s="5" t="n">
        <v>91.6</v>
      </c>
      <c r="E4" s="5" t="n">
        <f aca="false">C4+D4</f>
        <v>706.2</v>
      </c>
    </row>
    <row r="5" customFormat="false" ht="15.75" hidden="false" customHeight="true" outlineLevel="0" collapsed="false">
      <c r="A5" s="6" t="s">
        <v>8</v>
      </c>
      <c r="B5" s="7" t="s">
        <v>9</v>
      </c>
      <c r="C5" s="8" t="n">
        <v>590.5</v>
      </c>
      <c r="D5" s="8" t="n">
        <v>92.9</v>
      </c>
      <c r="E5" s="8" t="n">
        <f aca="false">C5+D5</f>
        <v>683.4</v>
      </c>
    </row>
    <row r="6" customFormat="false" ht="15.75" hidden="false" customHeight="true" outlineLevel="0" collapsed="false">
      <c r="A6" s="3" t="s">
        <v>10</v>
      </c>
      <c r="B6" s="4" t="s">
        <v>11</v>
      </c>
      <c r="C6" s="5" t="n">
        <v>810</v>
      </c>
      <c r="D6" s="5" t="n">
        <v>92.5</v>
      </c>
      <c r="E6" s="5" t="n">
        <f aca="false">C6+D6</f>
        <v>902.5</v>
      </c>
    </row>
    <row r="7" customFormat="false" ht="15.75" hidden="false" customHeight="true" outlineLevel="0" collapsed="false">
      <c r="A7" s="6" t="s">
        <v>12</v>
      </c>
      <c r="B7" s="7" t="s">
        <v>7</v>
      </c>
      <c r="C7" s="8" t="n">
        <v>439.8</v>
      </c>
      <c r="D7" s="8" t="n">
        <v>91.7</v>
      </c>
      <c r="E7" s="8" t="n">
        <f aca="false">C7+D7</f>
        <v>531.5</v>
      </c>
    </row>
    <row r="8" customFormat="false" ht="15.75" hidden="false" customHeight="true" outlineLevel="0" collapsed="false">
      <c r="A8" s="3" t="s">
        <v>13</v>
      </c>
      <c r="B8" s="4" t="s">
        <v>14</v>
      </c>
      <c r="C8" s="5" t="n">
        <v>889.5</v>
      </c>
      <c r="D8" s="5" t="n">
        <v>139.2</v>
      </c>
      <c r="E8" s="5" t="n">
        <f aca="false">C8+D8</f>
        <v>1028.7</v>
      </c>
    </row>
    <row r="9" customFormat="false" ht="15.75" hidden="false" customHeight="true" outlineLevel="0" collapsed="false">
      <c r="A9" s="6" t="s">
        <v>15</v>
      </c>
      <c r="B9" s="7" t="s">
        <v>16</v>
      </c>
      <c r="C9" s="8" t="n">
        <v>1086</v>
      </c>
      <c r="D9" s="8" t="n">
        <v>52.5</v>
      </c>
      <c r="E9" s="8" t="n">
        <f aca="false">C9+D9</f>
        <v>1138.5</v>
      </c>
    </row>
    <row r="10" customFormat="false" ht="15.75" hidden="false" customHeight="true" outlineLevel="0" collapsed="false">
      <c r="A10" s="3" t="s">
        <v>17</v>
      </c>
      <c r="B10" s="4" t="s">
        <v>9</v>
      </c>
      <c r="C10" s="5" t="n">
        <v>591</v>
      </c>
      <c r="D10" s="5" t="n">
        <v>52.3</v>
      </c>
      <c r="E10" s="5" t="n">
        <f aca="false">C10+D10</f>
        <v>643.3</v>
      </c>
    </row>
    <row r="11" customFormat="false" ht="15.75" hidden="false" customHeight="true" outlineLevel="0" collapsed="false">
      <c r="A11" s="6" t="s">
        <v>18</v>
      </c>
      <c r="B11" s="7" t="s">
        <v>11</v>
      </c>
      <c r="C11" s="8" t="n">
        <v>819</v>
      </c>
      <c r="D11" s="8" t="n">
        <v>52</v>
      </c>
      <c r="E11" s="8" t="n">
        <f aca="false">C11+D11</f>
        <v>871</v>
      </c>
    </row>
    <row r="12" customFormat="false" ht="15.75" hidden="false" customHeight="true" outlineLevel="0" collapsed="false">
      <c r="A12" s="3" t="s">
        <v>19</v>
      </c>
      <c r="B12" s="4" t="s">
        <v>7</v>
      </c>
      <c r="C12" s="5" t="n">
        <v>571</v>
      </c>
      <c r="D12" s="5" t="n">
        <v>154.13</v>
      </c>
      <c r="E12" s="5" t="n">
        <f aca="false">C12+D12</f>
        <v>725.13</v>
      </c>
    </row>
    <row r="13" customFormat="false" ht="15.75" hidden="false" customHeight="true" outlineLevel="0" collapsed="false">
      <c r="A13" s="6" t="s">
        <v>20</v>
      </c>
      <c r="B13" s="7" t="s">
        <v>14</v>
      </c>
      <c r="C13" s="8" t="n">
        <v>883</v>
      </c>
      <c r="D13" s="8" t="n">
        <v>60.1</v>
      </c>
      <c r="E13" s="8" t="n">
        <f aca="false">C13+D13</f>
        <v>943.1</v>
      </c>
    </row>
    <row r="14" customFormat="false" ht="15.75" hidden="false" customHeight="true" outlineLevel="0" collapsed="false">
      <c r="A14" s="3" t="s">
        <v>21</v>
      </c>
      <c r="B14" s="4" t="s">
        <v>11</v>
      </c>
      <c r="C14" s="5" t="n">
        <v>707</v>
      </c>
      <c r="D14" s="5" t="n">
        <v>56.2</v>
      </c>
      <c r="E14" s="5" t="n">
        <f aca="false">C14+D14</f>
        <v>763.2</v>
      </c>
    </row>
    <row r="15" customFormat="false" ht="15.75" hidden="false" customHeight="true" outlineLevel="0" collapsed="false">
      <c r="A15" s="6" t="s">
        <v>22</v>
      </c>
      <c r="B15" s="7" t="s">
        <v>11</v>
      </c>
      <c r="C15" s="8" t="n">
        <v>792</v>
      </c>
      <c r="D15" s="8" t="n">
        <v>66.4</v>
      </c>
      <c r="E15" s="8" t="n">
        <f aca="false">C15+D15</f>
        <v>858.4</v>
      </c>
    </row>
    <row r="16" customFormat="false" ht="15.75" hidden="false" customHeight="true" outlineLevel="0" collapsed="false">
      <c r="A16" s="3" t="s">
        <v>23</v>
      </c>
      <c r="B16" s="4" t="s">
        <v>11</v>
      </c>
      <c r="C16" s="5" t="n">
        <v>675</v>
      </c>
      <c r="D16" s="5" t="n">
        <v>57.6</v>
      </c>
      <c r="E16" s="5" t="n">
        <f aca="false">C16+D16</f>
        <v>732.6</v>
      </c>
    </row>
    <row r="17" customFormat="false" ht="15.75" hidden="false" customHeight="true" outlineLevel="0" collapsed="false">
      <c r="A17" s="6" t="s">
        <v>24</v>
      </c>
      <c r="B17" s="7" t="s">
        <v>25</v>
      </c>
      <c r="C17" s="8" t="n">
        <v>416</v>
      </c>
      <c r="D17" s="8" t="n">
        <v>62.3</v>
      </c>
      <c r="E17" s="8" t="n">
        <f aca="false">C17+D17</f>
        <v>478.3</v>
      </c>
    </row>
    <row r="18" customFormat="false" ht="15.75" hidden="false" customHeight="true" outlineLevel="0" collapsed="false">
      <c r="A18" s="3" t="s">
        <v>26</v>
      </c>
      <c r="B18" s="4" t="s">
        <v>7</v>
      </c>
      <c r="C18" s="5" t="n">
        <v>510</v>
      </c>
      <c r="D18" s="5" t="n">
        <v>63.7</v>
      </c>
      <c r="E18" s="5" t="n">
        <f aca="false">C18+D18</f>
        <v>573.7</v>
      </c>
    </row>
    <row r="19" customFormat="false" ht="15.75" hidden="false" customHeight="true" outlineLevel="0" collapsed="false">
      <c r="A19" s="6" t="s">
        <v>27</v>
      </c>
      <c r="B19" s="7" t="s">
        <v>28</v>
      </c>
      <c r="C19" s="8" t="n">
        <v>700</v>
      </c>
      <c r="D19" s="8" t="n">
        <v>51.3</v>
      </c>
      <c r="E19" s="8" t="n">
        <f aca="false">C19+D19</f>
        <v>751.3</v>
      </c>
    </row>
    <row r="20" customFormat="false" ht="15.75" hidden="false" customHeight="true" outlineLevel="0" collapsed="false">
      <c r="A20" s="3" t="s">
        <v>29</v>
      </c>
      <c r="B20" s="4" t="s">
        <v>9</v>
      </c>
      <c r="C20" s="5" t="n">
        <v>543</v>
      </c>
      <c r="D20" s="5" t="n">
        <v>51.2</v>
      </c>
      <c r="E20" s="5" t="n">
        <f aca="false">C20+D20</f>
        <v>594.2</v>
      </c>
    </row>
    <row r="21" customFormat="false" ht="15.75" hidden="false" customHeight="true" outlineLevel="0" collapsed="false">
      <c r="A21" s="6" t="s">
        <v>30</v>
      </c>
      <c r="B21" s="7" t="s">
        <v>11</v>
      </c>
      <c r="C21" s="8" t="n">
        <v>781</v>
      </c>
      <c r="D21" s="8" t="n">
        <v>96.8</v>
      </c>
      <c r="E21" s="8" t="n">
        <f aca="false">C21+D21</f>
        <v>877.8</v>
      </c>
    </row>
    <row r="22" customFormat="false" ht="15.75" hidden="false" customHeight="true" outlineLevel="0" collapsed="false">
      <c r="A22" s="3" t="s">
        <v>31</v>
      </c>
      <c r="B22" s="4" t="s">
        <v>25</v>
      </c>
      <c r="C22" s="5" t="n">
        <v>346</v>
      </c>
      <c r="D22" s="5" t="n">
        <v>90.8</v>
      </c>
      <c r="E22" s="5" t="n">
        <f aca="false">C22+D22</f>
        <v>436.8</v>
      </c>
    </row>
    <row r="23" customFormat="false" ht="15.75" hidden="false" customHeight="true" outlineLevel="0" collapsed="false">
      <c r="A23" s="6" t="s">
        <v>32</v>
      </c>
      <c r="B23" s="7" t="s">
        <v>7</v>
      </c>
      <c r="C23" s="8" t="n">
        <v>493</v>
      </c>
      <c r="D23" s="8" t="n">
        <v>61.2</v>
      </c>
      <c r="E23" s="8" t="n">
        <f aca="false">C23+D23</f>
        <v>554.2</v>
      </c>
    </row>
    <row r="24" customFormat="false" ht="15.75" hidden="false" customHeight="true" outlineLevel="0" collapsed="false">
      <c r="A24" s="3" t="s">
        <v>33</v>
      </c>
      <c r="B24" s="4" t="s">
        <v>7</v>
      </c>
      <c r="C24" s="5" t="n">
        <v>520</v>
      </c>
      <c r="D24" s="5" t="n">
        <v>60.1</v>
      </c>
      <c r="E24" s="5" t="n">
        <f aca="false">C24+D24</f>
        <v>580.1</v>
      </c>
    </row>
    <row r="25" customFormat="false" ht="15.75" hidden="false" customHeight="true" outlineLevel="0" collapsed="false">
      <c r="A25" s="6" t="s">
        <v>34</v>
      </c>
      <c r="B25" s="7" t="s">
        <v>35</v>
      </c>
      <c r="C25" s="8" t="n">
        <v>923</v>
      </c>
      <c r="D25" s="8" t="n">
        <v>75.9</v>
      </c>
      <c r="E25" s="8" t="n">
        <f aca="false">C25+D25</f>
        <v>998.9</v>
      </c>
    </row>
    <row r="26" customFormat="false" ht="15.75" hidden="false" customHeight="true" outlineLevel="0" collapsed="false">
      <c r="A26" s="3" t="s">
        <v>36</v>
      </c>
      <c r="B26" s="4" t="s">
        <v>7</v>
      </c>
      <c r="C26" s="5" t="n">
        <v>581</v>
      </c>
      <c r="D26" s="5" t="n">
        <v>90.2</v>
      </c>
      <c r="E26" s="5" t="n">
        <f aca="false">C26+D26</f>
        <v>671.2</v>
      </c>
    </row>
    <row r="27" customFormat="false" ht="15.75" hidden="false" customHeight="true" outlineLevel="0" collapsed="false">
      <c r="A27" s="6" t="s">
        <v>37</v>
      </c>
      <c r="B27" s="7" t="s">
        <v>11</v>
      </c>
      <c r="C27" s="8" t="n">
        <v>740</v>
      </c>
      <c r="D27" s="8" t="n">
        <v>62.3</v>
      </c>
      <c r="E27" s="8" t="n">
        <f aca="false">C27+D27</f>
        <v>802.3</v>
      </c>
    </row>
    <row r="28" customFormat="false" ht="15.75" hidden="false" customHeight="true" outlineLevel="0" collapsed="false">
      <c r="A28" s="3" t="s">
        <v>38</v>
      </c>
      <c r="B28" s="4" t="s">
        <v>11</v>
      </c>
      <c r="C28" s="5" t="n">
        <v>745</v>
      </c>
      <c r="D28" s="5" t="n">
        <v>70.8</v>
      </c>
      <c r="E28" s="5" t="n">
        <f aca="false">C28+D28</f>
        <v>815.8</v>
      </c>
    </row>
    <row r="29" customFormat="false" ht="15.75" hidden="false" customHeight="true" outlineLevel="0" collapsed="false">
      <c r="A29" s="6" t="s">
        <v>39</v>
      </c>
      <c r="B29" s="7" t="s">
        <v>11</v>
      </c>
      <c r="C29" s="8" t="n">
        <v>742</v>
      </c>
      <c r="D29" s="8" t="n">
        <v>70.9</v>
      </c>
      <c r="E29" s="8" t="n">
        <f aca="false">C29+D29</f>
        <v>812.9</v>
      </c>
    </row>
    <row r="30" customFormat="false" ht="18" hidden="false" customHeight="true" outlineLevel="0" collapsed="false">
      <c r="A30" s="9" t="s">
        <v>40</v>
      </c>
      <c r="B30" s="10" t="s">
        <v>41</v>
      </c>
      <c r="C30" s="11" t="n">
        <f aca="false">AVERAGE(C4:C29)</f>
        <v>673.4</v>
      </c>
      <c r="D30" s="11" t="n">
        <f aca="false">AVERAGE(D4:D29)</f>
        <v>75.6396153846154</v>
      </c>
      <c r="E30" s="11" t="n">
        <f aca="false">AVERAGE(E4:E29)</f>
        <v>749.039615384615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2026-04-02T21:49:46Z</dcterms:created>
  <dc:creator>openpyxl</dc:creator>
  <dc:description/>
  <dc:language>en-US</dc:language>
  <cp:lastModifiedBy/>
  <dcterms:modified xsi:type="dcterms:W3CDTF">2026-04-02T21:49:46Z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